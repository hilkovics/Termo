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38295" windowHeight="17880"/>
  </bookViews>
  <sheets>
    <sheet name="Senec V_2026" sheetId="4" r:id="rId1"/>
    <sheet name="Hárok1" sheetId="1" r:id="rId2"/>
    <sheet name="Hárok2" sheetId="2" r:id="rId3"/>
    <sheet name="Hárok3" sheetId="3" r:id="rId4"/>
  </sheets>
  <calcPr calcId="124519"/>
</workbook>
</file>

<file path=xl/calcChain.xml><?xml version="1.0" encoding="utf-8"?>
<calcChain xmlns="http://schemas.openxmlformats.org/spreadsheetml/2006/main">
  <c r="G16" i="4"/>
  <c r="N14"/>
  <c r="J14"/>
  <c r="H14"/>
  <c r="G14"/>
  <c r="F14"/>
  <c r="E14"/>
  <c r="D14"/>
  <c r="C14"/>
  <c r="N12"/>
  <c r="K12"/>
  <c r="L12" s="1"/>
  <c r="N11"/>
  <c r="L11"/>
  <c r="K11"/>
  <c r="N10"/>
  <c r="L10"/>
  <c r="N9"/>
  <c r="L9"/>
  <c r="K9"/>
  <c r="N8"/>
  <c r="L8"/>
  <c r="N7"/>
  <c r="K7"/>
  <c r="L7" s="1"/>
  <c r="N6"/>
  <c r="K6"/>
  <c r="L6" s="1"/>
  <c r="N5"/>
  <c r="K5"/>
  <c r="L5" s="1"/>
  <c r="N4"/>
  <c r="L4"/>
  <c r="K4"/>
  <c r="A4"/>
  <c r="A5" s="1"/>
  <c r="A6" s="1"/>
  <c r="A7" s="1"/>
  <c r="A8" s="1"/>
  <c r="A9" s="1"/>
  <c r="A10" s="1"/>
  <c r="A11" s="1"/>
  <c r="A12" s="1"/>
  <c r="N3"/>
  <c r="L3"/>
  <c r="K14" l="1"/>
</calcChain>
</file>

<file path=xl/sharedStrings.xml><?xml version="1.0" encoding="utf-8"?>
<sst xmlns="http://schemas.openxmlformats.org/spreadsheetml/2006/main" count="20" uniqueCount="20">
  <si>
    <t>timer</t>
  </si>
  <si>
    <t>sonda:</t>
  </si>
  <si>
    <r>
      <t>T_</t>
    </r>
    <r>
      <rPr>
        <vertAlign val="subscript"/>
        <sz val="9"/>
        <rFont val="Arial CE"/>
        <charset val="238"/>
      </rPr>
      <t>meteo</t>
    </r>
  </si>
  <si>
    <t>T_air</t>
  </si>
  <si>
    <t>T_well</t>
  </si>
  <si>
    <t>T_LFG</t>
  </si>
  <si>
    <t>CO_ppm</t>
  </si>
  <si>
    <t>CO_od</t>
  </si>
  <si>
    <t>CO_do</t>
  </si>
  <si>
    <r>
      <t>CO_</t>
    </r>
    <r>
      <rPr>
        <vertAlign val="subscript"/>
        <sz val="9"/>
        <rFont val="Arial CE"/>
        <charset val="238"/>
      </rPr>
      <t>AVG</t>
    </r>
  </si>
  <si>
    <t>CO_2025</t>
  </si>
  <si>
    <t>Meteo/LFG</t>
  </si>
  <si>
    <t>Air/LFG</t>
  </si>
  <si>
    <t>LFG/well</t>
  </si>
  <si>
    <t>LFG/CO</t>
  </si>
  <si>
    <t>Air/CO</t>
  </si>
  <si>
    <t>well/Air</t>
  </si>
  <si>
    <t>CO/CO_avg</t>
  </si>
  <si>
    <t>CO/CO_25</t>
  </si>
  <si>
    <t>Meteo/Air</t>
  </si>
</sst>
</file>

<file path=xl/styles.xml><?xml version="1.0" encoding="utf-8"?>
<styleSheet xmlns="http://schemas.openxmlformats.org/spreadsheetml/2006/main">
  <numFmts count="4">
    <numFmt numFmtId="164" formatCode="_-* #,##0.00\ _S_k_-;\-* #,##0.00\ _S_k_-;_-* &quot;-&quot;??\ _S_k_-;_-@_-"/>
    <numFmt numFmtId="165" formatCode="_-* #,##0.0\ _S_k_-;\-* #,##0.0\ _S_k_-;_-* &quot;-&quot;??\ _S_k_-;_-@_-"/>
    <numFmt numFmtId="166" formatCode="_-* #,##0\ _S_k_-;\-* #,##0\ _S_k_-;_-* &quot;-&quot;??\ _S_k_-;_-@_-"/>
    <numFmt numFmtId="167" formatCode="_-* #,##0.00\ _E_U_R_-;\-* #,##0.00\ _E_U_R_-;_-* &quot;-&quot;??\ _E_U_R_-;_-@_-"/>
  </numFmts>
  <fonts count="20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9"/>
      <name val="Arial CE"/>
      <charset val="238"/>
    </font>
    <font>
      <vertAlign val="subscript"/>
      <sz val="9"/>
      <name val="Arial CE"/>
      <charset val="238"/>
    </font>
    <font>
      <sz val="8"/>
      <name val="Arial CE"/>
      <charset val="238"/>
    </font>
    <font>
      <sz val="8"/>
      <color rgb="FF0070C0"/>
      <name val="Arial CE"/>
      <charset val="238"/>
    </font>
    <font>
      <sz val="8"/>
      <color rgb="FF7030A0"/>
      <name val="Arial CE"/>
      <charset val="238"/>
    </font>
    <font>
      <sz val="10"/>
      <color rgb="FF7030A0"/>
      <name val="Arial CE"/>
      <charset val="238"/>
    </font>
    <font>
      <sz val="10"/>
      <color rgb="FF00B050"/>
      <name val="Arial CE"/>
      <charset val="238"/>
    </font>
    <font>
      <sz val="9"/>
      <color rgb="FF0070C0"/>
      <name val="Arial CE"/>
      <charset val="238"/>
    </font>
    <font>
      <b/>
      <sz val="11"/>
      <color rgb="FFFF0000"/>
      <name val="Arial CE"/>
      <charset val="238"/>
    </font>
    <font>
      <b/>
      <sz val="10"/>
      <color rgb="FF7030A0"/>
      <name val="Arial CE"/>
      <charset val="238"/>
    </font>
    <font>
      <b/>
      <sz val="10"/>
      <color rgb="FFFF0000"/>
      <name val="Arial CE"/>
      <charset val="238"/>
    </font>
    <font>
      <b/>
      <sz val="12"/>
      <color theme="9" tint="-0.249977111117893"/>
      <name val="Arial CE"/>
      <charset val="238"/>
    </font>
    <font>
      <b/>
      <sz val="10"/>
      <color theme="9" tint="-0.249977111117893"/>
      <name val="Arial CE"/>
      <charset val="238"/>
    </font>
    <font>
      <sz val="10"/>
      <color rgb="FF0070C0"/>
      <name val="Arial CE"/>
      <charset val="238"/>
    </font>
    <font>
      <sz val="9"/>
      <color rgb="FFFF0000"/>
      <name val="Arial CE"/>
      <charset val="238"/>
    </font>
    <font>
      <b/>
      <sz val="9"/>
      <color theme="9" tint="-0.249977111117893"/>
      <name val="Arial CE"/>
      <charset val="238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9" fillId="0" borderId="0"/>
    <xf numFmtId="0" fontId="1" fillId="0" borderId="0"/>
  </cellStyleXfs>
  <cellXfs count="30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2" fillId="0" borderId="0" xfId="1"/>
    <xf numFmtId="164" fontId="5" fillId="0" borderId="0" xfId="2" applyNumberFormat="1" applyFont="1" applyAlignment="1">
      <alignment horizontal="center" vertical="center"/>
    </xf>
    <xf numFmtId="0" fontId="2" fillId="0" borderId="1" xfId="1" applyBorder="1" applyAlignment="1">
      <alignment horizontal="center" vertical="center"/>
    </xf>
    <xf numFmtId="165" fontId="6" fillId="0" borderId="0" xfId="2" applyNumberFormat="1" applyFont="1" applyFill="1" applyBorder="1" applyAlignment="1">
      <alignment horizontal="center" vertical="center"/>
    </xf>
    <xf numFmtId="165" fontId="6" fillId="0" borderId="0" xfId="2" applyNumberFormat="1" applyFont="1" applyAlignment="1">
      <alignment horizontal="center" vertical="center"/>
    </xf>
    <xf numFmtId="165" fontId="7" fillId="0" borderId="0" xfId="2" applyNumberFormat="1" applyFont="1" applyAlignment="1">
      <alignment horizontal="center" vertical="center"/>
    </xf>
    <xf numFmtId="166" fontId="8" fillId="0" borderId="0" xfId="2" applyNumberFormat="1" applyFont="1" applyAlignment="1">
      <alignment horizontal="center" vertical="center"/>
    </xf>
    <xf numFmtId="166" fontId="7" fillId="0" borderId="0" xfId="2" applyNumberFormat="1" applyFont="1" applyAlignment="1">
      <alignment horizontal="center" vertical="center"/>
    </xf>
    <xf numFmtId="166" fontId="9" fillId="0" borderId="0" xfId="2" applyNumberFormat="1" applyFont="1" applyAlignment="1">
      <alignment horizontal="center" vertical="center"/>
    </xf>
    <xf numFmtId="9" fontId="5" fillId="0" borderId="0" xfId="3" applyFont="1" applyAlignment="1">
      <alignment horizontal="center" vertical="center"/>
    </xf>
    <xf numFmtId="9" fontId="5" fillId="0" borderId="0" xfId="1" applyNumberFormat="1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6" fontId="11" fillId="3" borderId="1" xfId="2" applyNumberFormat="1" applyFont="1" applyFill="1" applyBorder="1" applyAlignment="1">
      <alignment horizontal="center" vertical="center"/>
    </xf>
    <xf numFmtId="166" fontId="12" fillId="3" borderId="0" xfId="2" applyNumberFormat="1" applyFont="1" applyFill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166" fontId="15" fillId="0" borderId="0" xfId="2" applyNumberFormat="1" applyFont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/>
    </xf>
    <xf numFmtId="164" fontId="5" fillId="0" borderId="2" xfId="2" applyNumberFormat="1" applyFont="1" applyBorder="1" applyAlignment="1">
      <alignment horizontal="center" vertical="center"/>
    </xf>
    <xf numFmtId="164" fontId="13" fillId="0" borderId="3" xfId="2" applyNumberFormat="1" applyFont="1" applyBorder="1" applyAlignment="1">
      <alignment horizontal="center" vertical="center"/>
    </xf>
    <xf numFmtId="164" fontId="15" fillId="0" borderId="1" xfId="2" applyNumberFormat="1" applyFont="1" applyBorder="1" applyAlignment="1">
      <alignment horizontal="center" vertical="center"/>
    </xf>
    <xf numFmtId="164" fontId="16" fillId="0" borderId="1" xfId="2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9">
    <cellStyle name="čiarky 2" xfId="2"/>
    <cellStyle name="čiarky 2 2" xfId="4"/>
    <cellStyle name="čiarky 3" xfId="5"/>
    <cellStyle name="čiarky 4" xfId="6"/>
    <cellStyle name="Normal_triangular" xfId="7"/>
    <cellStyle name="normálne" xfId="0" builtinId="0"/>
    <cellStyle name="normálne 2" xfId="1"/>
    <cellStyle name="normálne 2 2" xfId="8"/>
    <cellStyle name="percentá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sk-SK"/>
  <c:chart>
    <c:title>
      <c:tx>
        <c:rich>
          <a:bodyPr/>
          <a:lstStyle/>
          <a:p>
            <a:pPr>
              <a:defRPr/>
            </a:pPr>
            <a:r>
              <a:rPr lang="sk-SK"/>
              <a:t>Senec</a:t>
            </a:r>
            <a:endParaRPr lang="en-US"/>
          </a:p>
        </c:rich>
      </c:tx>
      <c:layout>
        <c:manualLayout>
          <c:xMode val="edge"/>
          <c:yMode val="edge"/>
          <c:x val="0.10525869421734703"/>
          <c:y val="1.5012907258356471E-2"/>
        </c:manualLayout>
      </c:layout>
    </c:title>
    <c:plotArea>
      <c:layout/>
      <c:scatterChart>
        <c:scatterStyle val="lineMarker"/>
        <c:ser>
          <c:idx val="0"/>
          <c:order val="0"/>
          <c:tx>
            <c:strRef>
              <c:f>'Senec V_2026'!$C$2</c:f>
              <c:strCache>
                <c:ptCount val="1"/>
                <c:pt idx="0">
                  <c:v>T_meteo</c:v>
                </c:pt>
              </c:strCache>
            </c:strRef>
          </c:tx>
          <c:xVal>
            <c:numRef>
              <c:f>'Senec V_2026'!$A$3:$A$12</c:f>
              <c:numCache>
                <c:formatCode>_-* #,##0\ _S_k_-;\-* #,##0\ _S_k_-;_-* "-"??\ _S_k_-;_-@_-</c:formatCode>
                <c:ptCount val="10"/>
                <c:pt idx="0" formatCode="_-* #,##0.00\ _S_k_-;\-* #,##0.00\ _S_k_-;_-* &quot;-&quot;??\ _S_k_-;_-@_-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65</c:v>
                </c:pt>
                <c:pt idx="7">
                  <c:v>80</c:v>
                </c:pt>
                <c:pt idx="8">
                  <c:v>95</c:v>
                </c:pt>
                <c:pt idx="9">
                  <c:v>110</c:v>
                </c:pt>
              </c:numCache>
            </c:numRef>
          </c:xVal>
          <c:yVal>
            <c:numRef>
              <c:f>'Senec V_2026'!$C$3:$C$12</c:f>
              <c:numCache>
                <c:formatCode>_-* #,##0.0\ _S_k_-;\-* #,##0.0\ _S_k_-;_-* "-"??\ _S_k_-;_-@_-</c:formatCode>
                <c:ptCount val="10"/>
                <c:pt idx="0">
                  <c:v>8.3000000000000007</c:v>
                </c:pt>
                <c:pt idx="1">
                  <c:v>8.3000000000000007</c:v>
                </c:pt>
                <c:pt idx="2">
                  <c:v>8.6999999999999993</c:v>
                </c:pt>
                <c:pt idx="3">
                  <c:v>9</c:v>
                </c:pt>
                <c:pt idx="4">
                  <c:v>9.1999999999999993</c:v>
                </c:pt>
                <c:pt idx="5">
                  <c:v>9.6</c:v>
                </c:pt>
                <c:pt idx="6">
                  <c:v>10</c:v>
                </c:pt>
                <c:pt idx="7">
                  <c:v>10</c:v>
                </c:pt>
                <c:pt idx="8">
                  <c:v>10.199999999999999</c:v>
                </c:pt>
                <c:pt idx="9">
                  <c:v>11</c:v>
                </c:pt>
              </c:numCache>
            </c:numRef>
          </c:yVal>
        </c:ser>
        <c:ser>
          <c:idx val="1"/>
          <c:order val="1"/>
          <c:tx>
            <c:strRef>
              <c:f>'Senec V_2026'!$D$2</c:f>
              <c:strCache>
                <c:ptCount val="1"/>
                <c:pt idx="0">
                  <c:v>T_air</c:v>
                </c:pt>
              </c:strCache>
            </c:strRef>
          </c:tx>
          <c:xVal>
            <c:numRef>
              <c:f>'Senec V_2026'!$A$3:$A$12</c:f>
              <c:numCache>
                <c:formatCode>_-* #,##0\ _S_k_-;\-* #,##0\ _S_k_-;_-* "-"??\ _S_k_-;_-@_-</c:formatCode>
                <c:ptCount val="10"/>
                <c:pt idx="0" formatCode="_-* #,##0.00\ _S_k_-;\-* #,##0.00\ _S_k_-;_-* &quot;-&quot;??\ _S_k_-;_-@_-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65</c:v>
                </c:pt>
                <c:pt idx="7">
                  <c:v>80</c:v>
                </c:pt>
                <c:pt idx="8">
                  <c:v>95</c:v>
                </c:pt>
                <c:pt idx="9">
                  <c:v>110</c:v>
                </c:pt>
              </c:numCache>
            </c:numRef>
          </c:xVal>
          <c:yVal>
            <c:numRef>
              <c:f>'Senec V_2026'!$D$3:$D$12</c:f>
              <c:numCache>
                <c:formatCode>_-* #,##0.0\ _S_k_-;\-* #,##0.0\ _S_k_-;_-* "-"??\ _S_k_-;_-@_-</c:formatCode>
                <c:ptCount val="10"/>
                <c:pt idx="0">
                  <c:v>8.7027138157894726</c:v>
                </c:pt>
                <c:pt idx="1">
                  <c:v>8.8478884788847889</c:v>
                </c:pt>
                <c:pt idx="2">
                  <c:v>9.2734206923528273</c:v>
                </c:pt>
                <c:pt idx="3">
                  <c:v>9.4656054576463902</c:v>
                </c:pt>
                <c:pt idx="4">
                  <c:v>9.7147091515376065</c:v>
                </c:pt>
                <c:pt idx="5">
                  <c:v>10.212765957446809</c:v>
                </c:pt>
                <c:pt idx="6">
                  <c:v>10.347186591414401</c:v>
                </c:pt>
                <c:pt idx="7">
                  <c:v>10.420225486846601</c:v>
                </c:pt>
                <c:pt idx="8">
                  <c:v>10.669456066945607</c:v>
                </c:pt>
                <c:pt idx="9">
                  <c:v>11.520558572536851</c:v>
                </c:pt>
              </c:numCache>
            </c:numRef>
          </c:yVal>
        </c:ser>
        <c:ser>
          <c:idx val="2"/>
          <c:order val="2"/>
          <c:tx>
            <c:strRef>
              <c:f>'Senec V_2026'!$F$2</c:f>
              <c:strCache>
                <c:ptCount val="1"/>
                <c:pt idx="0">
                  <c:v>T_LFG</c:v>
                </c:pt>
              </c:strCache>
            </c:strRef>
          </c:tx>
          <c:dLbls>
            <c:txPr>
              <a:bodyPr/>
              <a:lstStyle/>
              <a:p>
                <a:pPr>
                  <a:defRPr sz="800" b="1">
                    <a:solidFill>
                      <a:srgbClr val="00B050"/>
                    </a:solidFill>
                  </a:defRPr>
                </a:pPr>
                <a:endParaRPr lang="sk-SK"/>
              </a:p>
            </c:txPr>
            <c:dLblPos val="t"/>
            <c:showVal val="1"/>
          </c:dLbls>
          <c:xVal>
            <c:numRef>
              <c:f>'Senec V_2026'!$A$3:$A$12</c:f>
              <c:numCache>
                <c:formatCode>_-* #,##0\ _S_k_-;\-* #,##0\ _S_k_-;_-* "-"??\ _S_k_-;_-@_-</c:formatCode>
                <c:ptCount val="10"/>
                <c:pt idx="0" formatCode="_-* #,##0.00\ _S_k_-;\-* #,##0.00\ _S_k_-;_-* &quot;-&quot;??\ _S_k_-;_-@_-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65</c:v>
                </c:pt>
                <c:pt idx="7">
                  <c:v>80</c:v>
                </c:pt>
                <c:pt idx="8">
                  <c:v>95</c:v>
                </c:pt>
                <c:pt idx="9">
                  <c:v>110</c:v>
                </c:pt>
              </c:numCache>
            </c:numRef>
          </c:xVal>
          <c:yVal>
            <c:numRef>
              <c:f>'Senec V_2026'!$F$3:$F$12</c:f>
              <c:numCache>
                <c:formatCode>_-* #,##0.0\ _S_k_-;\-* #,##0.0\ _S_k_-;_-* "-"??\ _S_k_-;_-@_-</c:formatCode>
                <c:ptCount val="10"/>
                <c:pt idx="0">
                  <c:v>13.8</c:v>
                </c:pt>
                <c:pt idx="1">
                  <c:v>13.7</c:v>
                </c:pt>
                <c:pt idx="2">
                  <c:v>16.600000000000001</c:v>
                </c:pt>
                <c:pt idx="3">
                  <c:v>13.3</c:v>
                </c:pt>
                <c:pt idx="4">
                  <c:v>14.1</c:v>
                </c:pt>
                <c:pt idx="5">
                  <c:v>15.2</c:v>
                </c:pt>
                <c:pt idx="6">
                  <c:v>21.5</c:v>
                </c:pt>
                <c:pt idx="8">
                  <c:v>17.399999999999999</c:v>
                </c:pt>
                <c:pt idx="9">
                  <c:v>18</c:v>
                </c:pt>
              </c:numCache>
            </c:numRef>
          </c:yVal>
        </c:ser>
        <c:axId val="99090816"/>
        <c:axId val="99092736"/>
      </c:scatterChart>
      <c:scatterChart>
        <c:scatterStyle val="lineMarker"/>
        <c:ser>
          <c:idx val="3"/>
          <c:order val="3"/>
          <c:tx>
            <c:strRef>
              <c:f>'Senec V_2026'!$G$2</c:f>
              <c:strCache>
                <c:ptCount val="1"/>
                <c:pt idx="0">
                  <c:v>CO_ppm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FFC000"/>
              </a:solidFill>
              <a:ln w="19050">
                <a:solidFill>
                  <a:srgbClr val="7030A0"/>
                </a:solidFill>
              </a:ln>
            </c:spPr>
          </c:marker>
          <c:xVal>
            <c:numRef>
              <c:f>'Senec V_2026'!$A$3:$A$12</c:f>
              <c:numCache>
                <c:formatCode>_-* #,##0\ _S_k_-;\-* #,##0\ _S_k_-;_-* "-"??\ _S_k_-;_-@_-</c:formatCode>
                <c:ptCount val="10"/>
                <c:pt idx="0" formatCode="_-* #,##0.00\ _S_k_-;\-* #,##0.00\ _S_k_-;_-* &quot;-&quot;??\ _S_k_-;_-@_-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65</c:v>
                </c:pt>
                <c:pt idx="7">
                  <c:v>80</c:v>
                </c:pt>
                <c:pt idx="8">
                  <c:v>95</c:v>
                </c:pt>
                <c:pt idx="9">
                  <c:v>110</c:v>
                </c:pt>
              </c:numCache>
            </c:numRef>
          </c:xVal>
          <c:yVal>
            <c:numRef>
              <c:f>'Senec V_2026'!$G$3:$G$12</c:f>
              <c:numCache>
                <c:formatCode>_-* #,##0\ _S_k_-;\-* #,##0\ _S_k_-;_-* "-"??\ _S_k_-;_-@_-</c:formatCode>
                <c:ptCount val="10"/>
                <c:pt idx="0">
                  <c:v>278</c:v>
                </c:pt>
                <c:pt idx="1">
                  <c:v>170</c:v>
                </c:pt>
                <c:pt idx="2">
                  <c:v>1000</c:v>
                </c:pt>
                <c:pt idx="3">
                  <c:v>219</c:v>
                </c:pt>
                <c:pt idx="4">
                  <c:v>202</c:v>
                </c:pt>
                <c:pt idx="5">
                  <c:v>155</c:v>
                </c:pt>
                <c:pt idx="6">
                  <c:v>1000</c:v>
                </c:pt>
                <c:pt idx="7">
                  <c:v>5</c:v>
                </c:pt>
                <c:pt idx="8">
                  <c:v>498</c:v>
                </c:pt>
                <c:pt idx="9">
                  <c:v>764</c:v>
                </c:pt>
              </c:numCache>
            </c:numRef>
          </c:yVal>
        </c:ser>
        <c:axId val="99100544"/>
        <c:axId val="99099008"/>
      </c:scatterChart>
      <c:valAx>
        <c:axId val="99090816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dash"/>
            </a:ln>
          </c:spPr>
        </c:majorGridlines>
        <c:numFmt formatCode="#,##0" sourceLinked="0"/>
        <c:tickLblPos val="nextTo"/>
        <c:crossAx val="99092736"/>
        <c:crosses val="autoZero"/>
        <c:crossBetween val="midCat"/>
      </c:valAx>
      <c:valAx>
        <c:axId val="99092736"/>
        <c:scaling>
          <c:orientation val="minMax"/>
          <c:min val="8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>
                    <a:solidFill>
                      <a:srgbClr val="0070C0"/>
                    </a:solidFill>
                  </a:defRPr>
                </a:pPr>
                <a:r>
                  <a:rPr lang="en-US">
                    <a:solidFill>
                      <a:srgbClr val="0070C0"/>
                    </a:solidFill>
                  </a:rPr>
                  <a:t>teplota ©</a:t>
                </a:r>
              </a:p>
            </c:rich>
          </c:tx>
          <c:layout/>
        </c:title>
        <c:numFmt formatCode="#,##0.0" sourceLinked="0"/>
        <c:tickLblPos val="nextTo"/>
        <c:txPr>
          <a:bodyPr/>
          <a:lstStyle/>
          <a:p>
            <a:pPr>
              <a:defRPr sz="800" b="1">
                <a:solidFill>
                  <a:srgbClr val="0070C0"/>
                </a:solidFill>
              </a:defRPr>
            </a:pPr>
            <a:endParaRPr lang="sk-SK"/>
          </a:p>
        </c:txPr>
        <c:crossAx val="99090816"/>
        <c:crosses val="autoZero"/>
        <c:crossBetween val="midCat"/>
      </c:valAx>
      <c:valAx>
        <c:axId val="99099008"/>
        <c:scaling>
          <c:orientation val="minMax"/>
          <c:max val="1000"/>
        </c:scaling>
        <c:axPos val="r"/>
        <c:numFmt formatCode="_-* #,##0\ _S_k_-;\-* #,##0\ _S_k_-;_-* &quot;-&quot;??\ _S_k_-;_-@_-" sourceLinked="1"/>
        <c:tickLblPos val="nextTo"/>
        <c:txPr>
          <a:bodyPr/>
          <a:lstStyle/>
          <a:p>
            <a:pPr>
              <a:defRPr sz="800" b="1">
                <a:solidFill>
                  <a:srgbClr val="7030A0"/>
                </a:solidFill>
              </a:defRPr>
            </a:pPr>
            <a:endParaRPr lang="sk-SK"/>
          </a:p>
        </c:txPr>
        <c:crossAx val="99100544"/>
        <c:crosses val="max"/>
        <c:crossBetween val="midCat"/>
      </c:valAx>
      <c:valAx>
        <c:axId val="99100544"/>
        <c:scaling>
          <c:orientation val="minMax"/>
        </c:scaling>
        <c:delete val="1"/>
        <c:axPos val="b"/>
        <c:numFmt formatCode="_-* #,##0.00\ _S_k_-;\-* #,##0.00\ _S_k_-;_-* &quot;-&quot;??\ _S_k_-;_-@_-" sourceLinked="1"/>
        <c:tickLblPos val="nextTo"/>
        <c:crossAx val="99099008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32236531070096042"/>
          <c:y val="4.1191812054950788E-2"/>
          <c:w val="0.54041813926811744"/>
          <c:h val="6.7869275405577537E-2"/>
        </c:manualLayout>
      </c:layout>
      <c:overlay val="1"/>
    </c:legend>
    <c:plotVisOnly val="1"/>
  </c:chart>
  <c:printSettings>
    <c:headerFooter>
      <c:oddFooter>&amp;RGraf teplôt vzduchu, LFG a obsahu CO.</c:oddFooter>
    </c:headerFooter>
    <c:pageMargins b="0.74803149606299246" l="0.70866141732283505" r="0.70866141732283505" t="0.74803149606299246" header="0.31496062992126017" footer="0.31496062992126017"/>
    <c:pageSetup paperSize="9" orientation="landscape" horizontalDpi="0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31748</xdr:colOff>
      <xdr:row>16</xdr:row>
      <xdr:rowOff>28973</xdr:rowOff>
    </xdr:from>
    <xdr:to>
      <xdr:col>14</xdr:col>
      <xdr:colOff>222249</xdr:colOff>
      <xdr:row>36</xdr:row>
      <xdr:rowOff>110728</xdr:rowOff>
    </xdr:to>
    <xdr:graphicFrame macro="">
      <xdr:nvGraphicFramePr>
        <xdr:cNvPr id="2" name="Graf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6"/>
  <sheetViews>
    <sheetView tabSelected="1" zoomScale="150" zoomScaleNormal="150" workbookViewId="0">
      <selection activeCell="M12" sqref="M12"/>
    </sheetView>
  </sheetViews>
  <sheetFormatPr defaultRowHeight="12.75"/>
  <cols>
    <col min="1" max="2" width="9.140625" style="4"/>
    <col min="3" max="3" width="9.42578125" style="4" bestFit="1" customWidth="1"/>
    <col min="4" max="6" width="9.140625" style="4"/>
    <col min="7" max="7" width="12.42578125" style="4" customWidth="1"/>
    <col min="8" max="8" width="8.85546875" style="4" hidden="1" customWidth="1"/>
    <col min="9" max="9" width="6.85546875" style="4" hidden="1" customWidth="1"/>
    <col min="10" max="11" width="12.7109375" style="4" customWidth="1"/>
    <col min="12" max="12" width="6.42578125" style="4" hidden="1" customWidth="1"/>
    <col min="13" max="13" width="3.28515625" style="4" customWidth="1"/>
    <col min="14" max="14" width="0" style="4" hidden="1" customWidth="1"/>
    <col min="15" max="15" width="9.140625" style="4"/>
    <col min="16" max="16" width="10.5703125" style="4" customWidth="1"/>
    <col min="17" max="16384" width="9.140625" style="4"/>
  </cols>
  <sheetData>
    <row r="2" spans="1:16" ht="20.100000000000001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6" ht="20.100000000000001" customHeight="1">
      <c r="A3" s="5">
        <v>0</v>
      </c>
      <c r="B3" s="6">
        <v>11</v>
      </c>
      <c r="C3" s="7">
        <v>8.3000000000000007</v>
      </c>
      <c r="D3" s="8">
        <v>8.7027138157894726</v>
      </c>
      <c r="E3" s="8">
        <v>8</v>
      </c>
      <c r="F3" s="9">
        <v>13.8</v>
      </c>
      <c r="G3" s="10">
        <v>278</v>
      </c>
      <c r="H3" s="11">
        <v>225</v>
      </c>
      <c r="I3" s="11">
        <v>240</v>
      </c>
      <c r="J3" s="12">
        <v>280</v>
      </c>
      <c r="K3" s="12">
        <v>246</v>
      </c>
      <c r="L3" s="13">
        <f t="shared" ref="L3:L12" si="0">+G3/K3</f>
        <v>1.1300813008130082</v>
      </c>
      <c r="N3" s="13">
        <f t="shared" ref="N3:N12" si="1">+C3/D3</f>
        <v>0.95372549019607866</v>
      </c>
      <c r="O3" s="14"/>
      <c r="P3" s="8"/>
    </row>
    <row r="4" spans="1:16" ht="20.100000000000001" customHeight="1">
      <c r="A4" s="15">
        <f>+A3+10</f>
        <v>10</v>
      </c>
      <c r="B4" s="6">
        <v>14</v>
      </c>
      <c r="C4" s="8">
        <v>8.3000000000000007</v>
      </c>
      <c r="D4" s="8">
        <v>8.8478884788847889</v>
      </c>
      <c r="E4" s="8">
        <v>11.9</v>
      </c>
      <c r="F4" s="9">
        <v>13.7</v>
      </c>
      <c r="G4" s="10">
        <v>170</v>
      </c>
      <c r="H4" s="11">
        <v>140</v>
      </c>
      <c r="I4" s="11">
        <v>155</v>
      </c>
      <c r="J4" s="12">
        <v>218</v>
      </c>
      <c r="K4" s="12">
        <f>+(226+164)/2</f>
        <v>195</v>
      </c>
      <c r="L4" s="13">
        <f t="shared" si="0"/>
        <v>0.87179487179487181</v>
      </c>
      <c r="N4" s="13">
        <f t="shared" si="1"/>
        <v>0.93807692307692314</v>
      </c>
      <c r="O4" s="14"/>
      <c r="P4" s="8"/>
    </row>
    <row r="5" spans="1:16" ht="20.100000000000001" customHeight="1">
      <c r="A5" s="15">
        <f>+A4+10</f>
        <v>20</v>
      </c>
      <c r="B5" s="16">
        <v>15</v>
      </c>
      <c r="C5" s="8">
        <v>8.6999999999999993</v>
      </c>
      <c r="D5" s="8">
        <v>9.2734206923528273</v>
      </c>
      <c r="E5" s="8">
        <v>14</v>
      </c>
      <c r="F5" s="9">
        <v>16.600000000000001</v>
      </c>
      <c r="G5" s="17">
        <v>1000</v>
      </c>
      <c r="H5" s="11"/>
      <c r="I5" s="11"/>
      <c r="J5" s="12">
        <v>288</v>
      </c>
      <c r="K5" s="12">
        <f>+(268+353)/2</f>
        <v>310.5</v>
      </c>
      <c r="L5" s="13">
        <f t="shared" si="0"/>
        <v>3.2206119162640903</v>
      </c>
      <c r="N5" s="13">
        <f t="shared" si="1"/>
        <v>0.93816513761467868</v>
      </c>
      <c r="O5" s="14"/>
      <c r="P5" s="8"/>
    </row>
    <row r="6" spans="1:16" ht="20.100000000000001" customHeight="1">
      <c r="A6" s="15">
        <f>+A5+10</f>
        <v>30</v>
      </c>
      <c r="B6" s="6">
        <v>7</v>
      </c>
      <c r="C6" s="8">
        <v>9</v>
      </c>
      <c r="D6" s="8">
        <v>9.4656054576463902</v>
      </c>
      <c r="E6" s="8">
        <v>12.8</v>
      </c>
      <c r="F6" s="9">
        <v>13.3</v>
      </c>
      <c r="G6" s="10">
        <v>219</v>
      </c>
      <c r="H6" s="11">
        <v>105</v>
      </c>
      <c r="I6" s="11">
        <v>180</v>
      </c>
      <c r="J6" s="12">
        <v>261</v>
      </c>
      <c r="K6" s="12">
        <f>+(398+166)/2</f>
        <v>282</v>
      </c>
      <c r="L6" s="13">
        <f t="shared" si="0"/>
        <v>0.77659574468085102</v>
      </c>
      <c r="N6" s="13">
        <f t="shared" si="1"/>
        <v>0.95081081081081076</v>
      </c>
      <c r="O6" s="14"/>
      <c r="P6" s="8"/>
    </row>
    <row r="7" spans="1:16" ht="20.100000000000001" customHeight="1">
      <c r="A7" s="15">
        <f>+A6+10</f>
        <v>40</v>
      </c>
      <c r="B7" s="6">
        <v>4</v>
      </c>
      <c r="C7" s="8">
        <v>9.1999999999999993</v>
      </c>
      <c r="D7" s="8">
        <v>9.7147091515376065</v>
      </c>
      <c r="E7" s="8">
        <v>18.3</v>
      </c>
      <c r="F7" s="9">
        <v>14.1</v>
      </c>
      <c r="G7" s="10">
        <v>202</v>
      </c>
      <c r="H7" s="11">
        <v>140</v>
      </c>
      <c r="I7" s="11">
        <v>170</v>
      </c>
      <c r="J7" s="12">
        <v>180</v>
      </c>
      <c r="K7" s="12">
        <f>+(215+158)/2</f>
        <v>186.5</v>
      </c>
      <c r="L7" s="13">
        <f t="shared" si="0"/>
        <v>1.0831099195710456</v>
      </c>
      <c r="N7" s="13">
        <f t="shared" si="1"/>
        <v>0.94701754385964909</v>
      </c>
      <c r="O7" s="14"/>
      <c r="P7" s="8"/>
    </row>
    <row r="8" spans="1:16" ht="20.100000000000001" customHeight="1">
      <c r="A8" s="15">
        <f>+A7+10</f>
        <v>50</v>
      </c>
      <c r="B8" s="6">
        <v>1</v>
      </c>
      <c r="C8" s="8">
        <v>9.6</v>
      </c>
      <c r="D8" s="8">
        <v>10.212765957446809</v>
      </c>
      <c r="E8" s="8">
        <v>14.5</v>
      </c>
      <c r="F8" s="9">
        <v>15.2</v>
      </c>
      <c r="G8" s="10">
        <v>155</v>
      </c>
      <c r="H8" s="11">
        <v>93</v>
      </c>
      <c r="I8" s="11">
        <v>120</v>
      </c>
      <c r="J8" s="12">
        <v>181</v>
      </c>
      <c r="K8" s="12">
        <v>177</v>
      </c>
      <c r="L8" s="13">
        <f t="shared" si="0"/>
        <v>0.87570621468926557</v>
      </c>
      <c r="N8" s="13">
        <f t="shared" si="1"/>
        <v>0.94</v>
      </c>
      <c r="O8" s="14"/>
      <c r="P8" s="8"/>
    </row>
    <row r="9" spans="1:16" ht="20.100000000000001" customHeight="1">
      <c r="A9" s="15">
        <f>+A8+15</f>
        <v>65</v>
      </c>
      <c r="B9" s="16">
        <v>2</v>
      </c>
      <c r="C9" s="8">
        <v>10</v>
      </c>
      <c r="D9" s="8">
        <v>10.347186591414401</v>
      </c>
      <c r="E9" s="8">
        <v>15.1</v>
      </c>
      <c r="F9" s="9">
        <v>21.5</v>
      </c>
      <c r="G9" s="17">
        <v>1000</v>
      </c>
      <c r="H9" s="11"/>
      <c r="I9" s="11"/>
      <c r="J9" s="12">
        <v>294</v>
      </c>
      <c r="K9" s="12">
        <f>+(265+298)/2</f>
        <v>281.5</v>
      </c>
      <c r="L9" s="13">
        <f t="shared" si="0"/>
        <v>3.5523978685612789</v>
      </c>
      <c r="N9" s="13">
        <f t="shared" si="1"/>
        <v>0.96644628099173546</v>
      </c>
      <c r="O9" s="14"/>
      <c r="P9" s="8"/>
    </row>
    <row r="10" spans="1:16" ht="20.100000000000001" customHeight="1">
      <c r="A10" s="15">
        <f>+A9+15</f>
        <v>80</v>
      </c>
      <c r="B10" s="6">
        <v>3</v>
      </c>
      <c r="C10" s="8">
        <v>10</v>
      </c>
      <c r="D10" s="8">
        <v>10.420225486846601</v>
      </c>
      <c r="E10" s="8"/>
      <c r="F10" s="9"/>
      <c r="G10" s="10">
        <v>5</v>
      </c>
      <c r="H10" s="11">
        <v>1</v>
      </c>
      <c r="I10" s="11">
        <v>4</v>
      </c>
      <c r="J10" s="12">
        <v>280</v>
      </c>
      <c r="K10" s="12">
        <v>150</v>
      </c>
      <c r="L10" s="13">
        <f t="shared" si="0"/>
        <v>3.3333333333333333E-2</v>
      </c>
      <c r="N10" s="13">
        <f t="shared" si="1"/>
        <v>0.95967213114754102</v>
      </c>
      <c r="O10" s="14"/>
      <c r="P10" s="8"/>
    </row>
    <row r="11" spans="1:16" ht="20.100000000000001" customHeight="1">
      <c r="A11" s="15">
        <f>+A10+15</f>
        <v>95</v>
      </c>
      <c r="B11" s="18">
        <v>8</v>
      </c>
      <c r="C11" s="8">
        <v>10.199999999999999</v>
      </c>
      <c r="D11" s="8">
        <v>10.669456066945607</v>
      </c>
      <c r="E11" s="8">
        <v>13.5</v>
      </c>
      <c r="F11" s="9">
        <v>17.399999999999999</v>
      </c>
      <c r="G11" s="19">
        <v>498</v>
      </c>
      <c r="H11" s="11">
        <v>400</v>
      </c>
      <c r="I11" s="11">
        <v>420</v>
      </c>
      <c r="J11" s="12">
        <v>314</v>
      </c>
      <c r="K11" s="12">
        <f>+(289+334)/2</f>
        <v>311.5</v>
      </c>
      <c r="L11" s="13">
        <f t="shared" si="0"/>
        <v>1.5987158908507224</v>
      </c>
      <c r="N11" s="13">
        <f t="shared" si="1"/>
        <v>0.95599999999999996</v>
      </c>
      <c r="O11" s="14"/>
      <c r="P11" s="8"/>
    </row>
    <row r="12" spans="1:16" ht="20.100000000000001" customHeight="1">
      <c r="A12" s="15">
        <f>+A11+15</f>
        <v>110</v>
      </c>
      <c r="B12" s="18">
        <v>13</v>
      </c>
      <c r="C12" s="8">
        <v>11</v>
      </c>
      <c r="D12" s="8">
        <v>11.520558572536851</v>
      </c>
      <c r="E12" s="8">
        <v>16.2</v>
      </c>
      <c r="F12" s="9">
        <v>18</v>
      </c>
      <c r="G12" s="19">
        <v>764</v>
      </c>
      <c r="H12" s="11">
        <v>400</v>
      </c>
      <c r="I12" s="11">
        <v>460</v>
      </c>
      <c r="J12" s="12">
        <v>397</v>
      </c>
      <c r="K12" s="12">
        <f>+(403+388)/2</f>
        <v>395.5</v>
      </c>
      <c r="L12" s="13">
        <f t="shared" si="0"/>
        <v>1.93173198482933</v>
      </c>
      <c r="N12" s="13">
        <f t="shared" si="1"/>
        <v>0.95481481481481478</v>
      </c>
      <c r="O12" s="14"/>
      <c r="P12" s="8"/>
    </row>
    <row r="13" spans="1:16" ht="6.75" customHeight="1" thickBot="1"/>
    <row r="14" spans="1:16" ht="20.100000000000001" customHeight="1" thickBot="1">
      <c r="C14" s="20">
        <f>CORREL(C3:C12,F3:F12)</f>
        <v>0.68031454048023576</v>
      </c>
      <c r="D14" s="21">
        <f>CORREL(F3:F12,D3:D12)</f>
        <v>0.64576958933439199</v>
      </c>
      <c r="E14" s="22">
        <f>CORREL(F3:F12,E3:E12)</f>
        <v>0.35939515474271522</v>
      </c>
      <c r="F14" s="23">
        <f>CORREL(G3:G12,F3:F12)</f>
        <v>0.83658919339501003</v>
      </c>
      <c r="G14" s="20">
        <f>CORREL(D3:D12,G3:G12)</f>
        <v>0.2671049057062056</v>
      </c>
      <c r="H14" s="24">
        <f>CORREL(E3:E12,D3:D12)</f>
        <v>0.61181426628755453</v>
      </c>
      <c r="J14" s="22">
        <f>CORREL(G3:G12,J3:J12)</f>
        <v>0.57861552216020784</v>
      </c>
      <c r="K14" s="22">
        <f>CORREL(G3:G12,K3:K12)</f>
        <v>0.75294603902671409</v>
      </c>
      <c r="N14" s="20">
        <f>CORREL(C3:C12,D3:D12)</f>
        <v>0.99569749067451196</v>
      </c>
    </row>
    <row r="15" spans="1:16" ht="13.5" thickBot="1">
      <c r="C15" s="25" t="s">
        <v>11</v>
      </c>
      <c r="D15" s="25" t="s">
        <v>12</v>
      </c>
      <c r="E15" s="26" t="s">
        <v>13</v>
      </c>
      <c r="F15" s="27" t="s">
        <v>14</v>
      </c>
      <c r="G15" s="1" t="s">
        <v>15</v>
      </c>
      <c r="H15" s="28" t="s">
        <v>16</v>
      </c>
      <c r="J15" s="29" t="s">
        <v>17</v>
      </c>
      <c r="K15" s="29" t="s">
        <v>18</v>
      </c>
      <c r="N15" s="25" t="s">
        <v>19</v>
      </c>
    </row>
    <row r="16" spans="1:16">
      <c r="G16" s="20">
        <f>CORREL(C3:C12,G3:G12)</f>
        <v>0.27556108370325499</v>
      </c>
    </row>
  </sheetData>
  <printOptions horizontalCentered="1" verticalCentered="1"/>
  <pageMargins left="0.13" right="0.15" top="0.74803149606299213" bottom="0.43307086614173229" header="0.31496062992125984" footer="0.15748031496062992"/>
  <pageSetup paperSize="9" scale="150" orientation="landscape" horizontalDpi="0" verticalDpi="0" r:id="rId1"/>
  <headerFooter>
    <oddFooter>&amp;LSkládka Senec&amp;RVýsledký meraní  teploty a CO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4</vt:i4>
      </vt:variant>
    </vt:vector>
  </HeadingPairs>
  <TitlesOfParts>
    <vt:vector size="4" baseType="lpstr">
      <vt:lpstr>Senec V_2026</vt:lpstr>
      <vt:lpstr>Hárok1</vt:lpstr>
      <vt:lpstr>Hárok2</vt:lpstr>
      <vt:lpstr>Hárok3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Marek_H</dc:creator>
  <cp:lastModifiedBy>Marek_H</cp:lastModifiedBy>
  <dcterms:created xsi:type="dcterms:W3CDTF">2026-05-26T08:51:21Z</dcterms:created>
  <dcterms:modified xsi:type="dcterms:W3CDTF">2026-05-26T08:53:40Z</dcterms:modified>
</cp:coreProperties>
</file>